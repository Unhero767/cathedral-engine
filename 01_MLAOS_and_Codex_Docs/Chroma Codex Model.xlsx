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Guide" sheetId="1" state="visible" r:id="rId1"/>
    <sheet xmlns:r="http://schemas.openxmlformats.org/officeDocument/2006/relationships" name="Chroma Engine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.0x"/>
    <numFmt numFmtId="167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sz val="10"/>
    </font>
    <font>
      <name val="Calibri"/>
      <i val="1"/>
      <color rgb="007F7F7F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1" pivotButton="0" quotePrefix="0" xfId="0"/>
    <xf numFmtId="0" fontId="6" fillId="4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0" pivotButton="0" quotePrefix="0" xfId="0"/>
    <xf numFmtId="164" fontId="5" fillId="5" borderId="1" applyAlignment="1" pivotButton="0" quotePrefix="0" xfId="0">
      <alignment horizontal="right" vertical="center"/>
    </xf>
    <xf numFmtId="0" fontId="5" fillId="8" borderId="1" pivotButton="0" quotePrefix="0" xfId="0"/>
    <xf numFmtId="0" fontId="6" fillId="8" borderId="1" pivotButton="0" quotePrefix="0" xfId="0"/>
    <xf numFmtId="2" fontId="5" fillId="5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pivotButton="0" quotePrefix="0" xfId="0"/>
    <xf numFmtId="3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pivotButton="0" quotePrefix="0" xfId="0"/>
  </cellXfs>
  <cellStyles count="1">
    <cellStyle name="Normal" xfId="0" builtinId="0" hidden="0"/>
  </cellStyles>
  <dxfs count="2">
    <dxf>
      <font>
        <name val="Calibri"/>
        <b val="1"/>
        <color rgb="00C00000"/>
        <sz val="10"/>
      </font>
      <fill>
        <patternFill patternType="solid">
          <fgColor rgb="00FCE4D6"/>
          <bgColor rgb="00FCE4D6"/>
        </patternFill>
      </fill>
    </dxf>
    <dxf>
      <font>
        <name val="Calibri"/>
        <i val="1"/>
        <color rgb="00595959"/>
        <sz val="1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Sovereign Re-Weaving Curve: Resource Yield R(T) vs Incoming Trauma (T)</a:t>
            </a:r>
          </a:p>
        </rich>
      </tx>
    </title>
    <plotArea>
      <lineChart>
        <grouping val="standard"/>
        <ser>
          <idx val="0"/>
          <order val="0"/>
          <tx>
            <strRef>
              <f>'Chroma Engine Model'!C17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'Chroma Engine Model'!$B$18:$B$38</f>
            </numRef>
          </cat>
          <val>
            <numRef>
              <f>'Chroma Engine Model'!$C$18:$C$38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Incoming Trauma T [Points]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Re-Weaving Resource R(T) [Energy]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45" customWidth="1" min="4" max="4"/>
    <col width="15" customWidth="1" min="5" max="5"/>
  </cols>
  <sheetData>
    <row r="2">
      <c r="B2" s="1" t="inlineStr">
        <is>
          <t>CHROMA CODEX ENGINE</t>
        </is>
      </c>
    </row>
    <row r="3">
      <c r="B3" s="2" t="inlineStr">
        <is>
          <t>Sovereign Core Systems Architecture - Master Balance Sheet</t>
        </is>
      </c>
    </row>
    <row r="5" ht="24" customHeight="1">
      <c r="B5" s="3" t="inlineStr">
        <is>
          <t>WORKBOOK SHEET DIRECTORY</t>
        </is>
      </c>
    </row>
    <row r="6" ht="20" customHeight="1">
      <c r="B6" s="4" t="inlineStr">
        <is>
          <t>Tab Name</t>
        </is>
      </c>
      <c r="C6" s="4" t="inlineStr">
        <is>
          <t>Description</t>
        </is>
      </c>
      <c r="D6" s="5" t="inlineStr">
        <is>
          <t>System Navigation</t>
        </is>
      </c>
    </row>
    <row r="7" ht="22" customHeight="1">
      <c r="B7" s="6" t="inlineStr">
        <is>
          <t>TOC &amp; Guide</t>
        </is>
      </c>
      <c r="C7" s="7" t="inlineStr">
        <is>
          <t>Table of Contents, Color Legend, and Core Architectural Rules.</t>
        </is>
      </c>
      <c r="D7" s="8">
        <f>HYPERLINK("#'TOC &amp; Guide'!A1", "Go To Sheet")</f>
        <v/>
      </c>
    </row>
    <row r="8" ht="22" customHeight="1">
      <c r="B8" s="9" t="inlineStr">
        <is>
          <t>Chroma Engine Model</t>
        </is>
      </c>
      <c r="C8" s="10" t="inlineStr">
        <is>
          <t>The mathematical relationship between Trauma (T), Resource (R(T)), and Damping Ratio (ζ) during Phase Change.</t>
        </is>
      </c>
      <c r="D8" s="11">
        <f>HYPERLINK("#'Chroma Engine Model'!A1", "Go To Sheet")</f>
        <v/>
      </c>
    </row>
    <row r="11" ht="24" customHeight="1">
      <c r="B11" s="3" t="inlineStr">
        <is>
          <t>FORMATTING &amp; CELL CONVENTIONS</t>
        </is>
      </c>
    </row>
    <row r="12" ht="20" customHeight="1">
      <c r="B12" s="12" t="inlineStr">
        <is>
          <t>Color / Style</t>
        </is>
      </c>
      <c r="C12" s="12" t="inlineStr">
        <is>
          <t>Cell Classification</t>
        </is>
      </c>
      <c r="D12" s="12" t="inlineStr">
        <is>
          <t>Purpose / Architectural Meaning</t>
        </is>
      </c>
    </row>
    <row r="13" ht="22" customHeight="1">
      <c r="B13" s="13" t="inlineStr">
        <is>
          <t>Input</t>
        </is>
      </c>
      <c r="C13" s="10" t="inlineStr">
        <is>
          <t>Editable Assumption Cell</t>
        </is>
      </c>
      <c r="D13" s="10" t="inlineStr">
        <is>
          <t>Sovereign parameter modifying game logic (k, k', base stress).</t>
        </is>
      </c>
    </row>
    <row r="14" ht="22" customHeight="1">
      <c r="B14" s="14" t="inlineStr">
        <is>
          <t>Output</t>
        </is>
      </c>
      <c r="C14" s="10" t="inlineStr">
        <is>
          <t>Computed Output Cell</t>
        </is>
      </c>
      <c r="D14" s="10" t="inlineStr">
        <is>
          <t>Formula-driven cells (R(T), Overbreathe thresholds, Amplification).</t>
        </is>
      </c>
    </row>
    <row r="15" ht="22" customHeight="1">
      <c r="B15" s="15" t="inlineStr">
        <is>
          <t>Zebra Striping</t>
        </is>
      </c>
      <c r="C15" s="10" t="inlineStr">
        <is>
          <t>Alternating Readability Row</t>
        </is>
      </c>
      <c r="D15" s="10" t="inlineStr">
        <is>
          <t>Assists the reader's eye when tracking values across the manifold columns.</t>
        </is>
      </c>
    </row>
    <row r="16" ht="22" customHeight="1">
      <c r="B16" s="16" t="inlineStr">
        <is>
          <t>Dynamic Highlight</t>
        </is>
      </c>
      <c r="C16" s="10" t="inlineStr">
        <is>
          <t>Critical Threshold Cell</t>
        </is>
      </c>
      <c r="D16" s="10" t="inlineStr">
        <is>
          <t>Highlights when trauma matches perfect resonance (T_opt) or risk zones.</t>
        </is>
      </c>
    </row>
    <row r="19" ht="24" customHeight="1">
      <c r="B19" s="3" t="inlineStr">
        <is>
          <t>CHROMA CODEX CORE MATHEMATICAL MATHEMATICS</t>
        </is>
      </c>
    </row>
    <row r="20" ht="36" customHeight="1">
      <c r="B20" s="17" t="inlineStr">
        <is>
          <t>Axiom I: Predatory Trauma Loop</t>
        </is>
      </c>
      <c r="C20" s="18" t="inlineStr">
        <is>
          <t>R(T) = k*T - k'*T^2. The player's bio-silicate processor (Heart-Oculus) transduces incoming trauma (T) into usable Re-Weaving resources. Peak yield is locked at T_opt = k / (2*k').</t>
        </is>
      </c>
      <c r="D20" s="19" t="n"/>
      <c r="E20" s="19" t="n"/>
    </row>
    <row r="21" ht="36" customHeight="1">
      <c r="B21" s="17" t="inlineStr">
        <is>
          <t>Axiom II: The Overbreathe Ceiling</t>
        </is>
      </c>
      <c r="C21" s="18" t="inlineStr">
        <is>
          <t>Trauma exceeding 2 * T_opt reduces resources to zero, overloading the transductive membrane and initiating 'Overbreathe' (rapid cellular breakdown/xenoflesh rot).</t>
        </is>
      </c>
      <c r="D21" s="19" t="n"/>
      <c r="E21" s="19" t="n"/>
    </row>
    <row r="22" ht="36" customHeight="1">
      <c r="B22" s="17" t="inlineStr">
        <is>
          <t>Axiom III: Systemic Damping (ζ)</t>
        </is>
      </c>
      <c r="C22" s="18" t="inlineStr">
        <is>
          <t>Damping ratio (ζ) balances Resonance Amplification [A = 1 / (2*ζ)] against Echo Collapse Risk. Transitioning between fluid evasion (ζ -&gt; 0) and static fortification (ζ -&gt; 1) is executed via Phase Change.</t>
        </is>
      </c>
      <c r="D22" s="19" t="n"/>
      <c r="E22" s="19" t="n"/>
    </row>
    <row r="23" ht="36" customHeight="1">
      <c r="B23" s="17" t="inlineStr">
        <is>
          <t>Axiom IV: Invariance of Memory</t>
        </is>
      </c>
      <c r="C23" s="18" t="inlineStr">
        <is>
          <t>All trauma states and failures are permanently appended to the append-only JBP Merkle DAG ledger (Never-Overwrite Doctrine), fossilized as Harmonic Scars rather than deleted.</t>
        </is>
      </c>
      <c r="D23" s="19" t="n"/>
      <c r="E23" s="19" t="n"/>
    </row>
    <row r="25">
      <c r="B25" s="20" t="inlineStr">
        <is>
          <t>Generated 2026-08-04 | Sovereign Engine Master Codex v1.0</t>
        </is>
      </c>
    </row>
  </sheetData>
  <mergeCells count="7">
    <mergeCell ref="C23:E23"/>
    <mergeCell ref="C22:E22"/>
    <mergeCell ref="B11:E11"/>
    <mergeCell ref="B19:E19"/>
    <mergeCell ref="B5:E5"/>
    <mergeCell ref="C21:E2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24" customWidth="1" min="4" max="4"/>
    <col width="22" customWidth="1" min="5" max="5"/>
    <col width="26" customWidth="1" min="6" max="6"/>
    <col width="44" customWidth="1" min="7" max="7"/>
    <col width="3" customWidth="1" min="8" max="8"/>
    <col width="10" customWidth="1" min="9" max="9"/>
    <col width="32" customWidth="1" min="10" max="10"/>
    <col width="24" customWidth="1" min="11" max="11"/>
    <col width="22" customWidth="1" min="12" max="12"/>
    <col width="20" customWidth="1" min="13" max="13"/>
    <col width="48" customWidth="1" min="14" max="14"/>
  </cols>
  <sheetData>
    <row r="2">
      <c r="B2" s="1" t="inlineStr">
        <is>
          <t>CHROMA CODEX MATHEMATICAL ENGINE</t>
        </is>
      </c>
    </row>
    <row r="3">
      <c r="B3" s="2" t="inlineStr">
        <is>
          <t>Real-time Balances: Trauma Transduction, Damping Ratios, and Phase Changes</t>
        </is>
      </c>
    </row>
    <row r="5" ht="24" customHeight="1">
      <c r="B5" s="3" t="inlineStr">
        <is>
          <t>GLOBAL SYSTEM ASSUMPTIONS</t>
        </is>
      </c>
      <c r="I5" s="3" t="inlineStr">
        <is>
          <t>MATERIAL DAMPING SCALES (THE FIVE METALS)</t>
        </is>
      </c>
    </row>
    <row r="6" ht="20" customHeight="1">
      <c r="B6" s="12" t="inlineStr">
        <is>
          <t>Assumption Parameter</t>
        </is>
      </c>
      <c r="C6" s="5" t="inlineStr">
        <is>
          <t>Value</t>
        </is>
      </c>
      <c r="D6" s="12" t="inlineStr">
        <is>
          <t>Unit/Type</t>
        </is>
      </c>
      <c r="I6" s="12" t="inlineStr">
        <is>
          <t>Material Name</t>
        </is>
      </c>
      <c r="J6" s="12" t="inlineStr">
        <is>
          <t>Material Class</t>
        </is>
      </c>
      <c r="K6" s="5" t="inlineStr">
        <is>
          <t>Damping Ratio (ζ)</t>
        </is>
      </c>
      <c r="L6" s="5" t="inlineStr">
        <is>
          <t>Resonance Amp [1/(2ζ)]</t>
        </is>
      </c>
      <c r="M6" s="5" t="inlineStr">
        <is>
          <t>Echo Collapse Risk</t>
        </is>
      </c>
    </row>
    <row r="7" ht="20" customHeight="1">
      <c r="B7" s="10" t="inlineStr">
        <is>
          <t>Re-Weaving Coefficient k</t>
        </is>
      </c>
      <c r="C7" s="21" t="n">
        <v>4</v>
      </c>
      <c r="D7" s="10" t="inlineStr">
        <is>
          <t>Linear Gain</t>
        </is>
      </c>
      <c r="I7" s="22" t="inlineStr">
        <is>
          <t>Lead</t>
        </is>
      </c>
      <c r="J7" s="23" t="inlineStr">
        <is>
          <t>Static Composite</t>
        </is>
      </c>
      <c r="K7" s="24" t="n">
        <v>0.95</v>
      </c>
      <c r="L7" s="25">
        <f>1/(2*K7)</f>
        <v/>
      </c>
      <c r="M7" s="26">
        <f>1-K7</f>
        <v/>
      </c>
    </row>
    <row r="8" ht="20" customHeight="1">
      <c r="B8" s="10" t="inlineStr">
        <is>
          <t>Re-Weaving Coefficient k'</t>
        </is>
      </c>
      <c r="C8" s="24" t="n">
        <v>0.02</v>
      </c>
      <c r="D8" s="10" t="inlineStr">
        <is>
          <t>Quadratic Decay</t>
        </is>
      </c>
      <c r="I8" s="6" t="inlineStr">
        <is>
          <t>Bronze</t>
        </is>
      </c>
      <c r="J8" s="7" t="inlineStr">
        <is>
          <t>Static Composite</t>
        </is>
      </c>
      <c r="K8" s="24" t="n">
        <v>0.8</v>
      </c>
      <c r="L8" s="25">
        <f>1/(2*K8)</f>
        <v/>
      </c>
      <c r="M8" s="26">
        <f>1-K8</f>
        <v/>
      </c>
    </row>
    <row r="9" ht="20" customHeight="1">
      <c r="B9" s="9" t="inlineStr">
        <is>
          <t>Optimal Trauma (T_opt)</t>
        </is>
      </c>
      <c r="C9" s="27">
        <f>C7/(2*C8)</f>
        <v/>
      </c>
      <c r="D9" s="10" t="inlineStr">
        <is>
          <t>Points (Max Resource)</t>
        </is>
      </c>
      <c r="I9" s="22" t="inlineStr">
        <is>
          <t>Iron/Steel</t>
        </is>
      </c>
      <c r="J9" s="23" t="inlineStr">
        <is>
          <t>Transition State</t>
        </is>
      </c>
      <c r="K9" s="24" t="n">
        <v>0.5</v>
      </c>
      <c r="L9" s="25">
        <f>1/(2*K9)</f>
        <v/>
      </c>
      <c r="M9" s="26">
        <f>1-K9</f>
        <v/>
      </c>
    </row>
    <row r="10" ht="20" customHeight="1">
      <c r="B10" s="9" t="inlineStr">
        <is>
          <t>Overbreathe Threshold</t>
        </is>
      </c>
      <c r="C10" s="27">
        <f>2*C9</f>
        <v/>
      </c>
      <c r="D10" s="10" t="inlineStr">
        <is>
          <t>Points (Zero Resource)</t>
        </is>
      </c>
      <c r="I10" s="6" t="inlineStr">
        <is>
          <t>Silver</t>
        </is>
      </c>
      <c r="J10" s="7" t="inlineStr">
        <is>
          <t>Fluid Element</t>
        </is>
      </c>
      <c r="K10" s="24" t="n">
        <v>0.15</v>
      </c>
      <c r="L10" s="25">
        <f>1/(2*K10)</f>
        <v/>
      </c>
      <c r="M10" s="26">
        <f>1-K10</f>
        <v/>
      </c>
    </row>
    <row r="11" ht="20" customHeight="1">
      <c r="B11" s="9" t="inlineStr">
        <is>
          <t>Peak Resource Yield R(T_opt)</t>
        </is>
      </c>
      <c r="C11" s="28">
        <f>C7*C9-C8*C9^2</f>
        <v/>
      </c>
      <c r="D11" s="10" t="inlineStr">
        <is>
          <t>Energy Units (E_u)</t>
        </is>
      </c>
      <c r="I11" s="22" t="inlineStr">
        <is>
          <t>Mercury</t>
        </is>
      </c>
      <c r="J11" s="23" t="inlineStr">
        <is>
          <t>Fluid Element</t>
        </is>
      </c>
      <c r="K11" s="24" t="n">
        <v>0.05</v>
      </c>
      <c r="L11" s="25">
        <f>1/(2*K11)</f>
        <v/>
      </c>
      <c r="M11" s="26">
        <f>1-K11</f>
        <v/>
      </c>
    </row>
    <row r="12" ht="12" customHeight="1">
      <c r="B12" s="10" t="inlineStr">
        <is>
          <t>Base Systemic Stress</t>
        </is>
      </c>
      <c r="C12" s="21" t="n">
        <v>1</v>
      </c>
      <c r="D12" s="10" t="inlineStr">
        <is>
          <t>Scalar</t>
        </is>
      </c>
    </row>
    <row r="13" ht="20" customHeight="1">
      <c r="B13" s="10" t="inlineStr">
        <is>
          <t>Freq Differential (d_omega)</t>
        </is>
      </c>
      <c r="C13" s="21" t="n">
        <v>10</v>
      </c>
      <c r="D13" s="10" t="inlineStr">
        <is>
          <t>Hz (Spectral Coherence)</t>
        </is>
      </c>
    </row>
    <row r="14" ht="12" customHeight="1"/>
    <row r="16" ht="24" customHeight="1">
      <c r="B16" s="3" t="inlineStr">
        <is>
          <t>THE PREDATORY TRAUMA WAVEBALANCE CURVE (R(T))</t>
        </is>
      </c>
      <c r="I16" s="3" t="inlineStr">
        <is>
          <t>PHASE CHANGE DYNAMIC TRANSITION VECTOR</t>
        </is>
      </c>
    </row>
    <row r="17" ht="20" customHeight="1">
      <c r="B17" s="5" t="inlineStr">
        <is>
          <t>Trauma (T)</t>
        </is>
      </c>
      <c r="C17" s="5" t="inlineStr">
        <is>
          <t>Resource R(T)</t>
        </is>
      </c>
      <c r="D17" s="5" t="inlineStr">
        <is>
          <t>Efficiency %</t>
        </is>
      </c>
      <c r="E17" s="5" t="inlineStr">
        <is>
          <t>Dynamic Damping (ζ)</t>
        </is>
      </c>
      <c r="F17" s="4" t="inlineStr">
        <is>
          <t>Resonance State</t>
        </is>
      </c>
      <c r="G17" s="4" t="inlineStr">
        <is>
          <t>Sovereign Recommendation</t>
        </is>
      </c>
      <c r="I17" s="5" t="inlineStr">
        <is>
          <t>Step</t>
        </is>
      </c>
      <c r="J17" s="4" t="inlineStr">
        <is>
          <t>Transition Phase State</t>
        </is>
      </c>
      <c r="K17" s="5" t="inlineStr">
        <is>
          <t>Interpolated Damping (ζ)</t>
        </is>
      </c>
      <c r="L17" s="5" t="inlineStr">
        <is>
          <t>Resonance Amp</t>
        </is>
      </c>
      <c r="M17" s="5" t="inlineStr">
        <is>
          <t>Kinetic Absorption</t>
        </is>
      </c>
      <c r="N17" s="4" t="inlineStr">
        <is>
          <t>Tactical Combat Effect</t>
        </is>
      </c>
    </row>
    <row r="18" ht="22" customHeight="1">
      <c r="B18" s="29" t="n">
        <v>0</v>
      </c>
      <c r="C18" s="30">
        <f>MAX(0, $C$7*B18-$C$8*B18^2)</f>
        <v/>
      </c>
      <c r="D18" s="26">
        <f>C18/$C$11</f>
        <v/>
      </c>
      <c r="E18" s="31">
        <f>0.05+0.90*(B18/$C$10)</f>
        <v/>
      </c>
      <c r="F18" s="32">
        <f>IF(B18=0, "Quiescent", IF(B18&lt;$C$9, "Growth (Fluid)", IF(B18=$C$9, "Perfect Resonance", IF(B18&lt;$C$10, "Volatility (Shedding)", "Zombie Rupture (Overbreathe)"))))</f>
        <v/>
      </c>
      <c r="G18" s="33">
        <f>IF(B18=0, "Incur Trauma to Begin Re-Weaving", IF(B18&lt;80, "Deploy Mercury/Silver Evasion; stack multiplier", IF(B18&lt;=120, "Initiate Phase Change immediately to harvest", IF(B18&lt;200, "Shift to Iron/Bronze; purge entropy", "CRITICAL OVERLOAD! Initiate Destructive Interference"))))</f>
        <v/>
      </c>
      <c r="I18" s="34" t="n">
        <v>0</v>
      </c>
      <c r="J18" s="23" t="inlineStr">
        <is>
          <t>Pure Fluid (Mercury Alignment)</t>
        </is>
      </c>
      <c r="K18" s="24">
        <f>K11</f>
        <v/>
      </c>
      <c r="L18" s="25">
        <f>1/(2*K18)</f>
        <v/>
      </c>
      <c r="M18" s="26">
        <f>K18</f>
        <v/>
      </c>
      <c r="N18" s="35" t="inlineStr">
        <is>
          <t>Hyper-speed evasion, 3x echo shadow-doubles</t>
        </is>
      </c>
    </row>
    <row r="19" ht="22" customHeight="1">
      <c r="B19" s="36" t="n">
        <v>10</v>
      </c>
      <c r="C19" s="30">
        <f>MAX(0, $C$7*B19-$C$8*B19^2)</f>
        <v/>
      </c>
      <c r="D19" s="26">
        <f>C19/$C$11</f>
        <v/>
      </c>
      <c r="E19" s="31">
        <f>0.05+0.90*(B19/$C$10)</f>
        <v/>
      </c>
      <c r="F19" s="17">
        <f>IF(B19=0, "Quiescent", IF(B19&lt;$C$9, "Growth (Fluid)", IF(B19=$C$9, "Perfect Resonance", IF(B19&lt;$C$10, "Volatility (Shedding)", "Zombie Rupture (Overbreathe)"))))</f>
        <v/>
      </c>
      <c r="G19" s="37">
        <f>IF(B19=0, "Incur Trauma to Begin Re-Weaving", IF(B19&lt;80, "Deploy Mercury/Silver Evasion; stack multiplier", IF(B19&lt;=120, "Initiate Phase Change immediately to harvest", IF(B19&lt;200, "Shift to Iron/Bronze; purge entropy", "CRITICAL OVERLOAD! Initiate Destructive Interference"))))</f>
        <v/>
      </c>
      <c r="I19" s="15" t="n">
        <v>1</v>
      </c>
      <c r="J19" s="7" t="inlineStr">
        <is>
          <t>Fluid Condensing (Silver Alignment)</t>
        </is>
      </c>
      <c r="K19" s="24">
        <f>K10</f>
        <v/>
      </c>
      <c r="L19" s="25">
        <f>1/(2*K19)</f>
        <v/>
      </c>
      <c r="M19" s="26">
        <f>K19</f>
        <v/>
      </c>
      <c r="N19" s="38" t="inlineStr">
        <is>
          <t>Dampening evasion, deploying chain-resonators</t>
        </is>
      </c>
    </row>
    <row r="20" ht="22" customHeight="1">
      <c r="B20" s="29" t="n">
        <v>20</v>
      </c>
      <c r="C20" s="30">
        <f>MAX(0, $C$7*B20-$C$8*B20^2)</f>
        <v/>
      </c>
      <c r="D20" s="26">
        <f>C20/$C$11</f>
        <v/>
      </c>
      <c r="E20" s="31">
        <f>0.05+0.90*(B20/$C$10)</f>
        <v/>
      </c>
      <c r="F20" s="32">
        <f>IF(B20=0, "Quiescent", IF(B20&lt;$C$9, "Growth (Fluid)", IF(B20=$C$9, "Perfect Resonance", IF(B20&lt;$C$10, "Volatility (Shedding)", "Zombie Rupture (Overbreathe)"))))</f>
        <v/>
      </c>
      <c r="G20" s="33">
        <f>IF(B20=0, "Incur Trauma to Begin Re-Weaving", IF(B20&lt;80, "Deploy Mercury/Silver Evasion; stack multiplier", IF(B20&lt;=120, "Initiate Phase Change immediately to harvest", IF(B20&lt;200, "Shift to Iron/Bronze; purge entropy", "CRITICAL OVERLOAD! Initiate Destructive Interference"))))</f>
        <v/>
      </c>
      <c r="I20" s="34" t="n">
        <v>2</v>
      </c>
      <c r="J20" s="23" t="inlineStr">
        <is>
          <t>Equilibrium Crossing (Iron/Steel Gate)</t>
        </is>
      </c>
      <c r="K20" s="24">
        <f>K9</f>
        <v/>
      </c>
      <c r="L20" s="25">
        <f>1/(2*K20)</f>
        <v/>
      </c>
      <c r="M20" s="26">
        <f>K20</f>
        <v/>
      </c>
      <c r="N20" s="35" t="inlineStr">
        <is>
          <t>Re-stitching tendon-cables; kinetic-to-shield conversion</t>
        </is>
      </c>
    </row>
    <row r="21" ht="22" customHeight="1">
      <c r="B21" s="36" t="n">
        <v>30</v>
      </c>
      <c r="C21" s="30">
        <f>MAX(0, $C$7*B21-$C$8*B21^2)</f>
        <v/>
      </c>
      <c r="D21" s="26">
        <f>C21/$C$11</f>
        <v/>
      </c>
      <c r="E21" s="31">
        <f>0.05+0.90*(B21/$C$10)</f>
        <v/>
      </c>
      <c r="F21" s="17">
        <f>IF(B21=0, "Quiescent", IF(B21&lt;$C$9, "Growth (Fluid)", IF(B21=$C$9, "Perfect Resonance", IF(B21&lt;$C$10, "Volatility (Shedding)", "Zombie Rupture (Overbreathe)"))))</f>
        <v/>
      </c>
      <c r="G21" s="37">
        <f>IF(B21=0, "Incur Trauma to Begin Re-Weaving", IF(B21&lt;80, "Deploy Mercury/Silver Evasion; stack multiplier", IF(B21&lt;=120, "Initiate Phase Change immediately to harvest", IF(B21&lt;200, "Shift to Iron/Bronze; purge entropy", "CRITICAL OVERLOAD! Initiate Destructive Interference"))))</f>
        <v/>
      </c>
      <c r="I21" s="15" t="n">
        <v>3</v>
      </c>
      <c r="J21" s="7" t="inlineStr">
        <is>
          <t>Static Crystallizing (Bronze Anchor)</t>
        </is>
      </c>
      <c r="K21" s="24">
        <f>K8</f>
        <v/>
      </c>
      <c r="L21" s="25">
        <f>1/(2*K21)</f>
        <v/>
      </c>
      <c r="M21" s="26">
        <f>K21</f>
        <v/>
      </c>
      <c r="N21" s="38" t="inlineStr">
        <is>
          <t>Hardening Spectrafilaments; building barrier walls</t>
        </is>
      </c>
    </row>
    <row r="22" ht="22" customHeight="1">
      <c r="B22" s="29" t="n">
        <v>40</v>
      </c>
      <c r="C22" s="30">
        <f>MAX(0, $C$7*B22-$C$8*B22^2)</f>
        <v/>
      </c>
      <c r="D22" s="26">
        <f>C22/$C$11</f>
        <v/>
      </c>
      <c r="E22" s="31">
        <f>0.05+0.90*(B22/$C$10)</f>
        <v/>
      </c>
      <c r="F22" s="32">
        <f>IF(B22=0, "Quiescent", IF(B22&lt;$C$9, "Growth (Fluid)", IF(B22=$C$9, "Perfect Resonance", IF(B22&lt;$C$10, "Volatility (Shedding)", "Zombie Rupture (Overbreathe)"))))</f>
        <v/>
      </c>
      <c r="G22" s="33">
        <f>IF(B22=0, "Incur Trauma to Begin Re-Weaving", IF(B22&lt;80, "Deploy Mercury/Silver Evasion; stack multiplier", IF(B22&lt;=120, "Initiate Phase Change immediately to harvest", IF(B22&lt;200, "Shift to Iron/Bronze; purge entropy", "CRITICAL OVERLOAD! Initiate Destructive Interference"))))</f>
        <v/>
      </c>
      <c r="I22" s="34" t="n">
        <v>4</v>
      </c>
      <c r="J22" s="23" t="inlineStr">
        <is>
          <t>Pure Static Fortification (Lead Lock)</t>
        </is>
      </c>
      <c r="K22" s="24">
        <f>K7</f>
        <v/>
      </c>
      <c r="L22" s="25">
        <f>1/(2*K22)</f>
        <v/>
      </c>
      <c r="M22" s="26">
        <f>K22</f>
        <v/>
      </c>
      <c r="N22" s="35" t="inlineStr">
        <is>
          <t>Stasis locked; 100% immune to knockdown and shear forces</t>
        </is>
      </c>
    </row>
    <row r="23" ht="20" customHeight="1">
      <c r="B23" s="36" t="n">
        <v>50</v>
      </c>
      <c r="C23" s="30">
        <f>MAX(0, $C$7*B23-$C$8*B23^2)</f>
        <v/>
      </c>
      <c r="D23" s="26">
        <f>C23/$C$11</f>
        <v/>
      </c>
      <c r="E23" s="31">
        <f>0.05+0.90*(B23/$C$10)</f>
        <v/>
      </c>
      <c r="F23" s="17">
        <f>IF(B23=0, "Quiescent", IF(B23&lt;$C$9, "Growth (Fluid)", IF(B23=$C$9, "Perfect Resonance", IF(B23&lt;$C$10, "Volatility (Shedding)", "Zombie Rupture (Overbreathe)"))))</f>
        <v/>
      </c>
      <c r="G23" s="37">
        <f>IF(B23=0, "Incur Trauma to Begin Re-Weaving", IF(B23&lt;80, "Deploy Mercury/Silver Evasion; stack multiplier", IF(B23&lt;=120, "Initiate Phase Change immediately to harvest", IF(B23&lt;200, "Shift to Iron/Bronze; purge entropy", "CRITICAL OVERLOAD! Initiate Destructive Interference"))))</f>
        <v/>
      </c>
    </row>
    <row r="24" ht="20" customHeight="1">
      <c r="B24" s="29" t="n">
        <v>60</v>
      </c>
      <c r="C24" s="30">
        <f>MAX(0, $C$7*B24-$C$8*B24^2)</f>
        <v/>
      </c>
      <c r="D24" s="26">
        <f>C24/$C$11</f>
        <v/>
      </c>
      <c r="E24" s="31">
        <f>0.05+0.90*(B24/$C$10)</f>
        <v/>
      </c>
      <c r="F24" s="32">
        <f>IF(B24=0, "Quiescent", IF(B24&lt;$C$9, "Growth (Fluid)", IF(B24=$C$9, "Perfect Resonance", IF(B24&lt;$C$10, "Volatility (Shedding)", "Zombie Rupture (Overbreathe)"))))</f>
        <v/>
      </c>
      <c r="G24" s="33">
        <f>IF(B24=0, "Incur Trauma to Begin Re-Weaving", IF(B24&lt;80, "Deploy Mercury/Silver Evasion; stack multiplier", IF(B24&lt;=120, "Initiate Phase Change immediately to harvest", IF(B24&lt;200, "Shift to Iron/Bronze; purge entropy", "CRITICAL OVERLOAD! Initiate Destructive Interference"))))</f>
        <v/>
      </c>
    </row>
    <row r="25" ht="20" customHeight="1">
      <c r="B25" s="36" t="n">
        <v>70</v>
      </c>
      <c r="C25" s="30">
        <f>MAX(0, $C$7*B25-$C$8*B25^2)</f>
        <v/>
      </c>
      <c r="D25" s="26">
        <f>C25/$C$11</f>
        <v/>
      </c>
      <c r="E25" s="31">
        <f>0.05+0.90*(B25/$C$10)</f>
        <v/>
      </c>
      <c r="F25" s="17">
        <f>IF(B25=0, "Quiescent", IF(B25&lt;$C$9, "Growth (Fluid)", IF(B25=$C$9, "Perfect Resonance", IF(B25&lt;$C$10, "Volatility (Shedding)", "Zombie Rupture (Overbreathe)"))))</f>
        <v/>
      </c>
      <c r="G25" s="37">
        <f>IF(B25=0, "Incur Trauma to Begin Re-Weaving", IF(B25&lt;80, "Deploy Mercury/Silver Evasion; stack multiplier", IF(B25&lt;=120, "Initiate Phase Change immediately to harvest", IF(B25&lt;200, "Shift to Iron/Bronze; purge entropy", "CRITICAL OVERLOAD! Initiate Destructive Interference"))))</f>
        <v/>
      </c>
    </row>
    <row r="26" ht="20" customHeight="1">
      <c r="B26" s="29" t="n">
        <v>80</v>
      </c>
      <c r="C26" s="30">
        <f>MAX(0, $C$7*B26-$C$8*B26^2)</f>
        <v/>
      </c>
      <c r="D26" s="26">
        <f>C26/$C$11</f>
        <v/>
      </c>
      <c r="E26" s="31">
        <f>0.05+0.90*(B26/$C$10)</f>
        <v/>
      </c>
      <c r="F26" s="32">
        <f>IF(B26=0, "Quiescent", IF(B26&lt;$C$9, "Growth (Fluid)", IF(B26=$C$9, "Perfect Resonance", IF(B26&lt;$C$10, "Volatility (Shedding)", "Zombie Rupture (Overbreathe)"))))</f>
        <v/>
      </c>
      <c r="G26" s="33">
        <f>IF(B26=0, "Incur Trauma to Begin Re-Weaving", IF(B26&lt;80, "Deploy Mercury/Silver Evasion; stack multiplier", IF(B26&lt;=120, "Initiate Phase Change immediately to harvest", IF(B26&lt;200, "Shift to Iron/Bronze; purge entropy", "CRITICAL OVERLOAD! Initiate Destructive Interference"))))</f>
        <v/>
      </c>
    </row>
    <row r="27" ht="20" customHeight="1">
      <c r="B27" s="36" t="n">
        <v>90</v>
      </c>
      <c r="C27" s="30">
        <f>MAX(0, $C$7*B27-$C$8*B27^2)</f>
        <v/>
      </c>
      <c r="D27" s="26">
        <f>C27/$C$11</f>
        <v/>
      </c>
      <c r="E27" s="31">
        <f>0.05+0.90*(B27/$C$10)</f>
        <v/>
      </c>
      <c r="F27" s="17">
        <f>IF(B27=0, "Quiescent", IF(B27&lt;$C$9, "Growth (Fluid)", IF(B27=$C$9, "Perfect Resonance", IF(B27&lt;$C$10, "Volatility (Shedding)", "Zombie Rupture (Overbreathe)"))))</f>
        <v/>
      </c>
      <c r="G27" s="37">
        <f>IF(B27=0, "Incur Trauma to Begin Re-Weaving", IF(B27&lt;80, "Deploy Mercury/Silver Evasion; stack multiplier", IF(B27&lt;=120, "Initiate Phase Change immediately to harvest", IF(B27&lt;200, "Shift to Iron/Bronze; purge entropy", "CRITICAL OVERLOAD! Initiate Destructive Interference"))))</f>
        <v/>
      </c>
    </row>
    <row r="28" ht="20" customHeight="1">
      <c r="B28" s="29" t="n">
        <v>100</v>
      </c>
      <c r="C28" s="30">
        <f>MAX(0, $C$7*B28-$C$8*B28^2)</f>
        <v/>
      </c>
      <c r="D28" s="26">
        <f>C28/$C$11</f>
        <v/>
      </c>
      <c r="E28" s="31">
        <f>0.05+0.90*(B28/$C$10)</f>
        <v/>
      </c>
      <c r="F28" s="32">
        <f>IF(B28=0, "Quiescent", IF(B28&lt;$C$9, "Growth (Fluid)", IF(B28=$C$9, "Perfect Resonance", IF(B28&lt;$C$10, "Volatility (Shedding)", "Zombie Rupture (Overbreathe)"))))</f>
        <v/>
      </c>
      <c r="G28" s="33">
        <f>IF(B28=0, "Incur Trauma to Begin Re-Weaving", IF(B28&lt;80, "Deploy Mercury/Silver Evasion; stack multiplier", IF(B28&lt;=120, "Initiate Phase Change immediately to harvest", IF(B28&lt;200, "Shift to Iron/Bronze; purge entropy", "CRITICAL OVERLOAD! Initiate Destructive Interference"))))</f>
        <v/>
      </c>
    </row>
    <row r="29" ht="20" customHeight="1">
      <c r="B29" s="36" t="n">
        <v>110</v>
      </c>
      <c r="C29" s="30">
        <f>MAX(0, $C$7*B29-$C$8*B29^2)</f>
        <v/>
      </c>
      <c r="D29" s="26">
        <f>C29/$C$11</f>
        <v/>
      </c>
      <c r="E29" s="31">
        <f>0.05+0.90*(B29/$C$10)</f>
        <v/>
      </c>
      <c r="F29" s="17">
        <f>IF(B29=0, "Quiescent", IF(B29&lt;$C$9, "Growth (Fluid)", IF(B29=$C$9, "Perfect Resonance", IF(B29&lt;$C$10, "Volatility (Shedding)", "Zombie Rupture (Overbreathe)"))))</f>
        <v/>
      </c>
      <c r="G29" s="37">
        <f>IF(B29=0, "Incur Trauma to Begin Re-Weaving", IF(B29&lt;80, "Deploy Mercury/Silver Evasion; stack multiplier", IF(B29&lt;=120, "Initiate Phase Change immediately to harvest", IF(B29&lt;200, "Shift to Iron/Bronze; purge entropy", "CRITICAL OVERLOAD! Initiate Destructive Interference"))))</f>
        <v/>
      </c>
    </row>
    <row r="30" ht="20" customHeight="1">
      <c r="B30" s="29" t="n">
        <v>120</v>
      </c>
      <c r="C30" s="30">
        <f>MAX(0, $C$7*B30-$C$8*B30^2)</f>
        <v/>
      </c>
      <c r="D30" s="26">
        <f>C30/$C$11</f>
        <v/>
      </c>
      <c r="E30" s="31">
        <f>0.05+0.90*(B30/$C$10)</f>
        <v/>
      </c>
      <c r="F30" s="32">
        <f>IF(B30=0, "Quiescent", IF(B30&lt;$C$9, "Growth (Fluid)", IF(B30=$C$9, "Perfect Resonance", IF(B30&lt;$C$10, "Volatility (Shedding)", "Zombie Rupture (Overbreathe)"))))</f>
        <v/>
      </c>
      <c r="G30" s="33">
        <f>IF(B30=0, "Incur Trauma to Begin Re-Weaving", IF(B30&lt;80, "Deploy Mercury/Silver Evasion; stack multiplier", IF(B30&lt;=120, "Initiate Phase Change immediately to harvest", IF(B30&lt;200, "Shift to Iron/Bronze; purge entropy", "CRITICAL OVERLOAD! Initiate Destructive Interference"))))</f>
        <v/>
      </c>
    </row>
    <row r="31" ht="20" customHeight="1">
      <c r="B31" s="36" t="n">
        <v>130</v>
      </c>
      <c r="C31" s="30">
        <f>MAX(0, $C$7*B31-$C$8*B31^2)</f>
        <v/>
      </c>
      <c r="D31" s="26">
        <f>C31/$C$11</f>
        <v/>
      </c>
      <c r="E31" s="31">
        <f>0.05+0.90*(B31/$C$10)</f>
        <v/>
      </c>
      <c r="F31" s="17">
        <f>IF(B31=0, "Quiescent", IF(B31&lt;$C$9, "Growth (Fluid)", IF(B31=$C$9, "Perfect Resonance", IF(B31&lt;$C$10, "Volatility (Shedding)", "Zombie Rupture (Overbreathe)"))))</f>
        <v/>
      </c>
      <c r="G31" s="37">
        <f>IF(B31=0, "Incur Trauma to Begin Re-Weaving", IF(B31&lt;80, "Deploy Mercury/Silver Evasion; stack multiplier", IF(B31&lt;=120, "Initiate Phase Change immediately to harvest", IF(B31&lt;200, "Shift to Iron/Bronze; purge entropy", "CRITICAL OVERLOAD! Initiate Destructive Interference"))))</f>
        <v/>
      </c>
    </row>
    <row r="32" ht="20" customHeight="1">
      <c r="B32" s="29" t="n">
        <v>140</v>
      </c>
      <c r="C32" s="30">
        <f>MAX(0, $C$7*B32-$C$8*B32^2)</f>
        <v/>
      </c>
      <c r="D32" s="26">
        <f>C32/$C$11</f>
        <v/>
      </c>
      <c r="E32" s="31">
        <f>0.05+0.90*(B32/$C$10)</f>
        <v/>
      </c>
      <c r="F32" s="32">
        <f>IF(B32=0, "Quiescent", IF(B32&lt;$C$9, "Growth (Fluid)", IF(B32=$C$9, "Perfect Resonance", IF(B32&lt;$C$10, "Volatility (Shedding)", "Zombie Rupture (Overbreathe)"))))</f>
        <v/>
      </c>
      <c r="G32" s="33">
        <f>IF(B32=0, "Incur Trauma to Begin Re-Weaving", IF(B32&lt;80, "Deploy Mercury/Silver Evasion; stack multiplier", IF(B32&lt;=120, "Initiate Phase Change immediately to harvest", IF(B32&lt;200, "Shift to Iron/Bronze; purge entropy", "CRITICAL OVERLOAD! Initiate Destructive Interference"))))</f>
        <v/>
      </c>
    </row>
    <row r="33" ht="20" customHeight="1">
      <c r="B33" s="36" t="n">
        <v>150</v>
      </c>
      <c r="C33" s="30">
        <f>MAX(0, $C$7*B33-$C$8*B33^2)</f>
        <v/>
      </c>
      <c r="D33" s="26">
        <f>C33/$C$11</f>
        <v/>
      </c>
      <c r="E33" s="31">
        <f>0.05+0.90*(B33/$C$10)</f>
        <v/>
      </c>
      <c r="F33" s="17">
        <f>IF(B33=0, "Quiescent", IF(B33&lt;$C$9, "Growth (Fluid)", IF(B33=$C$9, "Perfect Resonance", IF(B33&lt;$C$10, "Volatility (Shedding)", "Zombie Rupture (Overbreathe)"))))</f>
        <v/>
      </c>
      <c r="G33" s="37">
        <f>IF(B33=0, "Incur Trauma to Begin Re-Weaving", IF(B33&lt;80, "Deploy Mercury/Silver Evasion; stack multiplier", IF(B33&lt;=120, "Initiate Phase Change immediately to harvest", IF(B33&lt;200, "Shift to Iron/Bronze; purge entropy", "CRITICAL OVERLOAD! Initiate Destructive Interference"))))</f>
        <v/>
      </c>
    </row>
    <row r="34" ht="20" customHeight="1">
      <c r="B34" s="29" t="n">
        <v>160</v>
      </c>
      <c r="C34" s="30">
        <f>MAX(0, $C$7*B34-$C$8*B34^2)</f>
        <v/>
      </c>
      <c r="D34" s="26">
        <f>C34/$C$11</f>
        <v/>
      </c>
      <c r="E34" s="31">
        <f>0.05+0.90*(B34/$C$10)</f>
        <v/>
      </c>
      <c r="F34" s="32">
        <f>IF(B34=0, "Quiescent", IF(B34&lt;$C$9, "Growth (Fluid)", IF(B34=$C$9, "Perfect Resonance", IF(B34&lt;$C$10, "Volatility (Shedding)", "Zombie Rupture (Overbreathe)"))))</f>
        <v/>
      </c>
      <c r="G34" s="33">
        <f>IF(B34=0, "Incur Trauma to Begin Re-Weaving", IF(B34&lt;80, "Deploy Mercury/Silver Evasion; stack multiplier", IF(B34&lt;=120, "Initiate Phase Change immediately to harvest", IF(B34&lt;200, "Shift to Iron/Bronze; purge entropy", "CRITICAL OVERLOAD! Initiate Destructive Interference"))))</f>
        <v/>
      </c>
    </row>
    <row r="35" ht="20" customHeight="1">
      <c r="B35" s="36" t="n">
        <v>170</v>
      </c>
      <c r="C35" s="30">
        <f>MAX(0, $C$7*B35-$C$8*B35^2)</f>
        <v/>
      </c>
      <c r="D35" s="26">
        <f>C35/$C$11</f>
        <v/>
      </c>
      <c r="E35" s="31">
        <f>0.05+0.90*(B35/$C$10)</f>
        <v/>
      </c>
      <c r="F35" s="17">
        <f>IF(B35=0, "Quiescent", IF(B35&lt;$C$9, "Growth (Fluid)", IF(B35=$C$9, "Perfect Resonance", IF(B35&lt;$C$10, "Volatility (Shedding)", "Zombie Rupture (Overbreathe)"))))</f>
        <v/>
      </c>
      <c r="G35" s="37">
        <f>IF(B35=0, "Incur Trauma to Begin Re-Weaving", IF(B35&lt;80, "Deploy Mercury/Silver Evasion; stack multiplier", IF(B35&lt;=120, "Initiate Phase Change immediately to harvest", IF(B35&lt;200, "Shift to Iron/Bronze; purge entropy", "CRITICAL OVERLOAD! Initiate Destructive Interference"))))</f>
        <v/>
      </c>
    </row>
    <row r="36" ht="20" customHeight="1">
      <c r="B36" s="29" t="n">
        <v>180</v>
      </c>
      <c r="C36" s="30">
        <f>MAX(0, $C$7*B36-$C$8*B36^2)</f>
        <v/>
      </c>
      <c r="D36" s="26">
        <f>C36/$C$11</f>
        <v/>
      </c>
      <c r="E36" s="31">
        <f>0.05+0.90*(B36/$C$10)</f>
        <v/>
      </c>
      <c r="F36" s="32">
        <f>IF(B36=0, "Quiescent", IF(B36&lt;$C$9, "Growth (Fluid)", IF(B36=$C$9, "Perfect Resonance", IF(B36&lt;$C$10, "Volatility (Shedding)", "Zombie Rupture (Overbreathe)"))))</f>
        <v/>
      </c>
      <c r="G36" s="33">
        <f>IF(B36=0, "Incur Trauma to Begin Re-Weaving", IF(B36&lt;80, "Deploy Mercury/Silver Evasion; stack multiplier", IF(B36&lt;=120, "Initiate Phase Change immediately to harvest", IF(B36&lt;200, "Shift to Iron/Bronze; purge entropy", "CRITICAL OVERLOAD! Initiate Destructive Interference"))))</f>
        <v/>
      </c>
    </row>
    <row r="37" ht="20" customHeight="1">
      <c r="B37" s="36" t="n">
        <v>190</v>
      </c>
      <c r="C37" s="30">
        <f>MAX(0, $C$7*B37-$C$8*B37^2)</f>
        <v/>
      </c>
      <c r="D37" s="26">
        <f>C37/$C$11</f>
        <v/>
      </c>
      <c r="E37" s="31">
        <f>0.05+0.90*(B37/$C$10)</f>
        <v/>
      </c>
      <c r="F37" s="17">
        <f>IF(B37=0, "Quiescent", IF(B37&lt;$C$9, "Growth (Fluid)", IF(B37=$C$9, "Perfect Resonance", IF(B37&lt;$C$10, "Volatility (Shedding)", "Zombie Rupture (Overbreathe)"))))</f>
        <v/>
      </c>
      <c r="G37" s="37">
        <f>IF(B37=0, "Incur Trauma to Begin Re-Weaving", IF(B37&lt;80, "Deploy Mercury/Silver Evasion; stack multiplier", IF(B37&lt;=120, "Initiate Phase Change immediately to harvest", IF(B37&lt;200, "Shift to Iron/Bronze; purge entropy", "CRITICAL OVERLOAD! Initiate Destructive Interference"))))</f>
        <v/>
      </c>
    </row>
    <row r="38" ht="20" customHeight="1">
      <c r="B38" s="29" t="n">
        <v>200</v>
      </c>
      <c r="C38" s="30">
        <f>MAX(0, $C$7*B38-$C$8*B38^2)</f>
        <v/>
      </c>
      <c r="D38" s="26">
        <f>C38/$C$11</f>
        <v/>
      </c>
      <c r="E38" s="31">
        <f>0.05+0.90*(B38/$C$10)</f>
        <v/>
      </c>
      <c r="F38" s="32">
        <f>IF(B38=0, "Quiescent", IF(B38&lt;$C$9, "Growth (Fluid)", IF(B38=$C$9, "Perfect Resonance", IF(B38&lt;$C$10, "Volatility (Shedding)", "Zombie Rupture (Overbreathe)"))))</f>
        <v/>
      </c>
      <c r="G38" s="33">
        <f>IF(B38=0, "Incur Trauma to Begin Re-Weaving", IF(B38&lt;80, "Deploy Mercury/Silver Evasion; stack multiplier", IF(B38&lt;=120, "Initiate Phase Change immediately to harvest", IF(B38&lt;200, "Shift to Iron/Bronze; purge entropy", "CRITICAL OVERLOAD! Initiate Destructive Interference"))))</f>
        <v/>
      </c>
    </row>
  </sheetData>
  <mergeCells count="4">
    <mergeCell ref="B16:G16"/>
    <mergeCell ref="B5:D5"/>
    <mergeCell ref="I16:N16"/>
    <mergeCell ref="I5:M5"/>
  </mergeCells>
  <conditionalFormatting sqref="B18:G38">
    <cfRule type="expression" priority="1" dxfId="0" stopIfTrue="1">
      <formula>$B18=$C$9</formula>
    </cfRule>
    <cfRule type="expression" priority="2" dxfId="1" stopIfTrue="1">
      <formula>$B18&gt;=$C$10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2026-08-05T05:25:28Z</dcterms:created>
  <dcterms:modified xmlns:dcterms="http://purl.org/dc/terms/" xmlns:xsi="http://www.w3.org/2001/XMLSchema-instance" xsi:type="dcterms:W3CDTF">2026-08-05T05:25:28Z</dcterms:modified>
</cp:coreProperties>
</file>